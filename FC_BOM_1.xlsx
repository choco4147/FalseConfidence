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enm\OneDrive\Documents\GitHub\FalseConfidence\"/>
    </mc:Choice>
  </mc:AlternateContent>
  <xr:revisionPtr revIDLastSave="0" documentId="13_ncr:1_{013E052B-1478-4269-8E2D-D1268A915BD3}" xr6:coauthVersionLast="47" xr6:coauthVersionMax="47" xr10:uidLastSave="{00000000-0000-0000-0000-000000000000}"/>
  <bookViews>
    <workbookView xWindow="-120" yWindow="-120" windowWidth="29040" windowHeight="15720" xr2:uid="{0F8B7B90-5A58-4669-B024-8182CB888A0D}"/>
  </bookViews>
  <sheets>
    <sheet name="Bill of Materials" sheetId="1" r:id="rId1"/>
    <sheet name="Mfg.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G14" i="1"/>
  <c r="H14" i="1"/>
  <c r="H43" i="1"/>
  <c r="G43" i="1"/>
  <c r="G34" i="1"/>
  <c r="G36" i="1"/>
  <c r="G38" i="1"/>
  <c r="G39" i="1"/>
  <c r="G40" i="1"/>
  <c r="G41" i="1"/>
  <c r="G42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H34" i="1"/>
  <c r="H36" i="1"/>
  <c r="H38" i="1"/>
  <c r="H39" i="1"/>
  <c r="H40" i="1"/>
  <c r="H41" i="1"/>
  <c r="H42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G32" i="1"/>
  <c r="H32" i="1"/>
  <c r="G31" i="1"/>
  <c r="H31" i="1"/>
  <c r="G30" i="1"/>
  <c r="H30" i="1"/>
  <c r="H28" i="1"/>
  <c r="H29" i="1"/>
  <c r="G28" i="1"/>
  <c r="G29" i="1"/>
  <c r="G27" i="1"/>
  <c r="H27" i="1"/>
  <c r="H22" i="1"/>
  <c r="H23" i="1"/>
  <c r="H24" i="1"/>
  <c r="H25" i="1"/>
  <c r="G22" i="1"/>
  <c r="G23" i="1"/>
  <c r="G24" i="1"/>
  <c r="G25" i="1"/>
  <c r="G21" i="1"/>
  <c r="H21" i="1"/>
  <c r="G7" i="1"/>
  <c r="G8" i="1"/>
  <c r="H7" i="1"/>
  <c r="H8" i="1"/>
  <c r="H16" i="1"/>
  <c r="H17" i="1"/>
  <c r="H18" i="1"/>
  <c r="G16" i="1"/>
  <c r="G17" i="1"/>
  <c r="G18" i="1"/>
  <c r="G20" i="1"/>
  <c r="H20" i="1"/>
  <c r="G13" i="1"/>
  <c r="H13" i="1"/>
  <c r="G12" i="1"/>
  <c r="H12" i="1"/>
  <c r="G11" i="1"/>
  <c r="H11" i="1"/>
  <c r="G10" i="1"/>
  <c r="H10" i="1"/>
  <c r="G9" i="1"/>
  <c r="H9" i="1"/>
  <c r="H4" i="1"/>
  <c r="H5" i="1"/>
  <c r="H6" i="1"/>
  <c r="G4" i="1"/>
  <c r="G5" i="1"/>
  <c r="G6" i="1"/>
  <c r="H3" i="1"/>
  <c r="G3" i="1"/>
  <c r="K5" i="1" l="1"/>
  <c r="K3" i="1"/>
</calcChain>
</file>

<file path=xl/sharedStrings.xml><?xml version="1.0" encoding="utf-8"?>
<sst xmlns="http://schemas.openxmlformats.org/spreadsheetml/2006/main" count="177" uniqueCount="103">
  <si>
    <t>Part Number</t>
  </si>
  <si>
    <t>Name</t>
  </si>
  <si>
    <t>Source</t>
  </si>
  <si>
    <t>Unit Price</t>
  </si>
  <si>
    <t>Total Price</t>
  </si>
  <si>
    <t>Notes</t>
  </si>
  <si>
    <t>Description</t>
  </si>
  <si>
    <t>Of</t>
  </si>
  <si>
    <t>Qty Needed</t>
  </si>
  <si>
    <t>Qty Produced</t>
  </si>
  <si>
    <t>Stock</t>
  </si>
  <si>
    <t>FC-S-NoseTip-1</t>
  </si>
  <si>
    <t>Nosecone Tip</t>
  </si>
  <si>
    <t>/</t>
  </si>
  <si>
    <t>FC-S-NoseCoupler-1</t>
  </si>
  <si>
    <t>Nosecone Coupler</t>
  </si>
  <si>
    <t>FC-S-AftClosure-1</t>
  </si>
  <si>
    <t>Sustainer Aft Closure</t>
  </si>
  <si>
    <t>FC-S-Fin-1</t>
  </si>
  <si>
    <t>Sustainer Fin</t>
  </si>
  <si>
    <t>FC-S-MotorCase-1</t>
  </si>
  <si>
    <t>Sustainer Motor Case</t>
  </si>
  <si>
    <t>FC-B-ISC-1</t>
  </si>
  <si>
    <t>Interstage Coupler</t>
  </si>
  <si>
    <t>FC-B-Fin-1</t>
  </si>
  <si>
    <t>Booster Fin</t>
  </si>
  <si>
    <t>Qty Owned</t>
  </si>
  <si>
    <t>Price Remaining</t>
  </si>
  <si>
    <t>Blue Raven</t>
  </si>
  <si>
    <t>https://www.featherweightaltimeters.com/swift-tracker.html</t>
  </si>
  <si>
    <t>Swift Tracker</t>
  </si>
  <si>
    <t>Ground Station</t>
  </si>
  <si>
    <t>Blue Jay</t>
  </si>
  <si>
    <t>https://www.featherweightaltimeters.com/blue-raven-altimeter.html</t>
  </si>
  <si>
    <t>https://www.featherweightaltimeters.com/blue-jay-altimeter.html</t>
  </si>
  <si>
    <t>Elvin Beacon</t>
  </si>
  <si>
    <t>https://github.com/ElvinC/rocketbeacon</t>
  </si>
  <si>
    <t>Eggtimer Quasar</t>
  </si>
  <si>
    <t>Eggtimer Quark</t>
  </si>
  <si>
    <t>Eggtimer LCD</t>
  </si>
  <si>
    <t>https://eggtimerrocketry.com/purchase/</t>
  </si>
  <si>
    <t>Runcam Split 4 v2</t>
  </si>
  <si>
    <t>https://shop.runcam.com/runcam-split-4-v2/</t>
  </si>
  <si>
    <t>https://www.dxengineering.com/parts/dxe-at1493</t>
  </si>
  <si>
    <t>May need more/less idk</t>
  </si>
  <si>
    <t>Power Switch</t>
  </si>
  <si>
    <t>https://www.csrocketry.com/electronics/altus-metrum/fingertech-mini-switch.html</t>
  </si>
  <si>
    <t>Igniter Shunt</t>
  </si>
  <si>
    <t>TBD</t>
  </si>
  <si>
    <t>RF Beacon Radio</t>
  </si>
  <si>
    <t>RF Beacon Antenna</t>
  </si>
  <si>
    <t>https://www.mcmaster.com/89015K961/</t>
  </si>
  <si>
    <t>6061 Bar</t>
  </si>
  <si>
    <t>6061 Tube</t>
  </si>
  <si>
    <t>Fins</t>
  </si>
  <si>
    <t>Fwd Closure</t>
  </si>
  <si>
    <t>Aft Closure</t>
  </si>
  <si>
    <t>ISC</t>
  </si>
  <si>
    <t>https://www.mcmaster.com/8974K13-8974K319/</t>
  </si>
  <si>
    <t>https://www.mcmaster.com/94355A328/</t>
  </si>
  <si>
    <t>Metal Stock</t>
  </si>
  <si>
    <t>Electronics</t>
  </si>
  <si>
    <t>Hardware</t>
  </si>
  <si>
    <t>https://www.mcmaster.com/9452K62/</t>
  </si>
  <si>
    <t>Buna-N O-Ring, 1.75" OD</t>
  </si>
  <si>
    <t>Buna-N O-Ring, 2" OD</t>
  </si>
  <si>
    <t>6061 Plate - 0.125" T</t>
  </si>
  <si>
    <t>6061 Bar - 1" L, 6" OD</t>
  </si>
  <si>
    <t>6063 Tube - 6' L, 2.125" OD</t>
  </si>
  <si>
    <t>https://www.mcmaster.com/9452K63/</t>
  </si>
  <si>
    <t>1/4-20 x 12" Threaded Rod</t>
  </si>
  <si>
    <t>10-32 x 3/16" Set Screw</t>
  </si>
  <si>
    <t>https://www.mcmaster.com/98957A111/</t>
  </si>
  <si>
    <t>1/4-20 Eye Nut Hangers</t>
  </si>
  <si>
    <t>https://www.mcmaster.com/91705A500/</t>
  </si>
  <si>
    <t>#2 Shear Pin</t>
  </si>
  <si>
    <t>https://www.csrocketry.com/recovery-supplies/shear-pins/shear-pin-2/56.html</t>
  </si>
  <si>
    <t>Epoxy</t>
  </si>
  <si>
    <t>Composites</t>
  </si>
  <si>
    <t>Rocketry-Specific Parts</t>
  </si>
  <si>
    <t>Aerotech L1090 Reload</t>
  </si>
  <si>
    <t>Aerotech K2050 Reload</t>
  </si>
  <si>
    <t>Booster Motor</t>
  </si>
  <si>
    <t>Sustainer Motor</t>
  </si>
  <si>
    <t>Firewire E-Matches</t>
  </si>
  <si>
    <t>https://www.csrocketry.com/recovery-supplies/ejection-supplies/firewire-electric-match.html</t>
  </si>
  <si>
    <t>Black Powder Substitute</t>
  </si>
  <si>
    <t>https://www.csrocketry.com/recovery-supplies/ejection-supplies/black-powder.html</t>
  </si>
  <si>
    <t>PAR45TM</t>
  </si>
  <si>
    <t>PAR9TM</t>
  </si>
  <si>
    <t>https://www.csrocketry.com/recovery-supplies/top-flight-recovery/standard-chutes-thin-mil/-9-thin-mil-topflight-chute.html</t>
  </si>
  <si>
    <t>https://www.csrocketry.com/recovery-supplies/top-flight-recovery/standard-chutes-thin-mil/45-thin-mil-topflight-chute.html</t>
  </si>
  <si>
    <t>RR 30" Chute</t>
  </si>
  <si>
    <t>https://wildmanrocketry.com/collections/parachutes/products/recon-recovery-30-chute</t>
  </si>
  <si>
    <t>Sustainer Main Chute</t>
  </si>
  <si>
    <t>Booster Main Chute</t>
  </si>
  <si>
    <t>Sustainer &amp; Booster Drogue Chute</t>
  </si>
  <si>
    <t>1s 500mAh LiPo</t>
  </si>
  <si>
    <t>2s 550mAh LiPo</t>
  </si>
  <si>
    <t>https://www.amazon.com/OVONIC-Battery-Package-Including-Batteries/dp/B0D3F67LVM/ref=sxin_17_pa_sp_search_thematic_sspa?content-id=amzn1.sym.06dae8e6-5073-49f2-9bdc-0faebb40a382%3Aamzn1.sym.06dae8e6-5073-49f2-9bdc-0faebb40a382&amp;crid=26XR47UAI01E7&amp;cv_ct_cx=1s+lipo&amp;keywords=1s+lipo&amp;pd_rd_i=B0D3F67LVM&amp;pd_rd_r=f5934ac5-da9d-4f88-b8d0-e9c70f0612ad&amp;pd_rd_w=PwlSi&amp;pd_rd_wg=zjobM&amp;pf_rd_p=06dae8e6-5073-49f2-9bdc-0faebb40a382&amp;pf_rd_r=C22DXJ0ZPSD34RPSWM57&amp;qid=1779561723&amp;sbo=RZvfv%2F%2FHxDF%2BO5021pAnSA%3D%3D&amp;sprefix=1s+lipo%2Caps%2C170&amp;sr=1-3-9630ce6b-eb04-480e-8729-567d2ef7dacb-spons&amp;aref=HfagKria8m&amp;sp_csd=d2lkZ2V0TmFtZT1zcF9zZWFyY2hfdGhlbWF0aWM&amp;psc=1</t>
  </si>
  <si>
    <t>https://www.amazon.com/OVONIC-7-4V-100C-550mAh-Battery/dp/B0D3F64G3V/ref=sr_1_2_sspa?crid=1Q9OHNBUT6Y5J&amp;dib=eyJ2IjoiMSJ9.xdPVLGAuBS2vf0oiToa5H9WZufPob75J1pUXmhOzrQxYs1EQ1kc1BUHTPUat4HPzZ8eN0rU3rD4NH04V-b4ycGE30pzMTTZWmIiTRcIZrH9NVEqVzX91OhuYc006Nx922hVfnTIxdVk3p44xrSBhcOUAomoquMKAglTRwhyQ0jeLalY5MiELxQeb1DtiFh1APPCbK7HVdsID_lEh-THiczlpP7I8Ex123cTVY938TxN3ET7CByT3JHgWOhIWm4Ge2rto0VgwZbBWiMyTYU0jIF6eJMk2u2nMp9IS94owx50.qbfhjiCv0uE_Eaa7koDBLPQRencqiMqDal18uWLDxfc&amp;dib_tag=se&amp;keywords=550mah+2s+lipo&amp;qid=1779561592&amp;sprefix=50mah+2s+lipo%2Caps%2C163&amp;sr=8-2-spons&amp;sp_csd=d2lkZ2V0TmFtZT1zcF9hdGY&amp;psc=1</t>
  </si>
  <si>
    <t>1s 200mAh LiPo</t>
  </si>
  <si>
    <t>https://www.amazon.com/Ransanx-Rechargeable-Integrated-Protection-Electronic/dp/B0F37Y7718/ref=sr_1_1?crid=2EYS8AW7XULA0&amp;dib=eyJ2IjoiMSJ9.lwhlIn-3mJAhDlK7ArO9cHJhwZO1UrBcUnC0S37_WY7orp7i4uLcA3x-3X13hr8wbhOFfhNeJso7oTPpzOtuE4I_PEaWWD2zitIllolHtReq6Lb3hmzYBRE3i1FHtwaDXUkmQG3apMwXnAZOyoJTElr-rblVB6Jy_6OEl51Bo043YirU2NXOgTNLJLkvPfzik8YZhhVh85p88b-wM-R-mXeGAfI_KorlUymNy5h0YA0twAuiLP6MfqzZQo5pBFm9PN9W8WqkCjCI512E-CDyxjMDnGzW3PdFOOgmRUiswyY.DUmf9PB-FTZrlbLKVKFtr6T4Wz5nU2uZzFNLpr7GB0o&amp;dib_tag=se&amp;keywords=1s%2Blipo%2B200mah&amp;qid=1779562203&amp;s=electronics&amp;sprefix=1s%2Blipo%2B200mah%2Celectronics%2C142&amp;sr=1-1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</si>
</sst>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44" fontId="1" fillId="2" borderId="0" xfId="1" applyFont="1" applyFill="1" applyAlignment="1">
      <alignment horizontal="center" vertical="center"/>
    </xf>
    <xf numFmtId="44" fontId="0" fillId="0" borderId="0" xfId="1" applyFont="1"/>
    <xf numFmtId="0" fontId="0" fillId="3" borderId="0" xfId="0" applyFill="1"/>
    <xf numFmtId="44" fontId="0" fillId="3" borderId="0" xfId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4A36-4462-4840-9712-8BFD36A23A15}">
  <dimension ref="A1:K58"/>
  <sheetViews>
    <sheetView tabSelected="1" workbookViewId="0">
      <selection activeCell="F15" sqref="F15"/>
    </sheetView>
  </sheetViews>
  <sheetFormatPr defaultRowHeight="15" x14ac:dyDescent="0.25"/>
  <cols>
    <col min="1" max="1" width="28.140625" customWidth="1"/>
    <col min="2" max="2" width="21" customWidth="1"/>
    <col min="3" max="3" width="14.85546875" customWidth="1"/>
    <col min="4" max="4" width="5.28515625" customWidth="1"/>
    <col min="5" max="5" width="14.5703125" customWidth="1"/>
    <col min="6" max="6" width="12" style="9" customWidth="1"/>
    <col min="7" max="7" width="12.28515625" style="9" customWidth="1"/>
    <col min="8" max="8" width="20" style="9" customWidth="1"/>
    <col min="9" max="9" width="58.140625" customWidth="1"/>
    <col min="11" max="11" width="21.5703125" customWidth="1"/>
  </cols>
  <sheetData>
    <row r="1" spans="1:11" s="2" customFormat="1" x14ac:dyDescent="0.25">
      <c r="A1" s="1" t="s">
        <v>1</v>
      </c>
      <c r="B1" s="1" t="s">
        <v>2</v>
      </c>
      <c r="C1" s="1" t="s">
        <v>26</v>
      </c>
      <c r="D1" s="1" t="s">
        <v>7</v>
      </c>
      <c r="E1" s="1" t="s">
        <v>8</v>
      </c>
      <c r="F1" s="8" t="s">
        <v>3</v>
      </c>
      <c r="G1" s="8" t="s">
        <v>4</v>
      </c>
      <c r="H1" s="8" t="s">
        <v>27</v>
      </c>
      <c r="I1" s="1" t="s">
        <v>5</v>
      </c>
      <c r="K1" s="5" t="s">
        <v>4</v>
      </c>
    </row>
    <row r="2" spans="1:11" s="2" customFormat="1" x14ac:dyDescent="0.25">
      <c r="A2" s="13" t="s">
        <v>61</v>
      </c>
      <c r="B2" s="13"/>
      <c r="C2" s="13"/>
      <c r="D2" s="13"/>
      <c r="E2" s="13"/>
      <c r="F2" s="13"/>
      <c r="G2" s="13"/>
      <c r="H2" s="13"/>
      <c r="I2" s="13"/>
      <c r="K2" s="5"/>
    </row>
    <row r="3" spans="1:11" x14ac:dyDescent="0.25">
      <c r="A3" t="s">
        <v>28</v>
      </c>
      <c r="B3" t="s">
        <v>33</v>
      </c>
      <c r="C3">
        <v>0</v>
      </c>
      <c r="D3" t="s">
        <v>13</v>
      </c>
      <c r="E3">
        <v>1</v>
      </c>
      <c r="F3" s="9">
        <v>175</v>
      </c>
      <c r="G3" s="9">
        <f>E3*F3</f>
        <v>175</v>
      </c>
      <c r="H3" s="9">
        <f>(E3-C3)*F3</f>
        <v>175</v>
      </c>
      <c r="K3" s="6">
        <f>SUM(G:G)</f>
        <v>1689.5400000000002</v>
      </c>
    </row>
    <row r="4" spans="1:11" x14ac:dyDescent="0.25">
      <c r="A4" t="s">
        <v>32</v>
      </c>
      <c r="B4" t="s">
        <v>34</v>
      </c>
      <c r="C4">
        <v>0</v>
      </c>
      <c r="D4" t="s">
        <v>13</v>
      </c>
      <c r="E4">
        <v>1</v>
      </c>
      <c r="F4" s="9">
        <v>80</v>
      </c>
      <c r="G4" s="9">
        <f t="shared" ref="G4:G58" si="0">E4*F4</f>
        <v>80</v>
      </c>
      <c r="H4" s="9">
        <f t="shared" ref="H4:H58" si="1">(E4-C4)*F4</f>
        <v>80</v>
      </c>
      <c r="K4" s="5" t="s">
        <v>27</v>
      </c>
    </row>
    <row r="5" spans="1:11" x14ac:dyDescent="0.25">
      <c r="A5" t="s">
        <v>30</v>
      </c>
      <c r="B5" t="s">
        <v>29</v>
      </c>
      <c r="C5">
        <v>0</v>
      </c>
      <c r="D5" t="s">
        <v>13</v>
      </c>
      <c r="E5">
        <v>1</v>
      </c>
      <c r="F5" s="9">
        <v>170</v>
      </c>
      <c r="G5" s="9">
        <f t="shared" si="0"/>
        <v>170</v>
      </c>
      <c r="H5" s="9">
        <f t="shared" si="1"/>
        <v>170</v>
      </c>
      <c r="K5" s="7">
        <f>SUM(H:H)</f>
        <v>1285.4399999999998</v>
      </c>
    </row>
    <row r="6" spans="1:11" x14ac:dyDescent="0.25">
      <c r="A6" t="s">
        <v>31</v>
      </c>
      <c r="B6" t="s">
        <v>29</v>
      </c>
      <c r="C6">
        <v>0</v>
      </c>
      <c r="D6" t="s">
        <v>13</v>
      </c>
      <c r="E6">
        <v>1</v>
      </c>
      <c r="F6" s="9">
        <v>195</v>
      </c>
      <c r="G6" s="9">
        <f t="shared" si="0"/>
        <v>195</v>
      </c>
      <c r="H6" s="9">
        <f t="shared" si="1"/>
        <v>195</v>
      </c>
    </row>
    <row r="7" spans="1:11" x14ac:dyDescent="0.25">
      <c r="A7" s="10" t="s">
        <v>49</v>
      </c>
      <c r="B7" s="10"/>
      <c r="C7" s="10">
        <v>0</v>
      </c>
      <c r="D7" s="10" t="s">
        <v>13</v>
      </c>
      <c r="E7" s="10">
        <v>1</v>
      </c>
      <c r="F7" s="11"/>
      <c r="G7" s="11">
        <f t="shared" si="0"/>
        <v>0</v>
      </c>
      <c r="H7" s="11">
        <f t="shared" si="1"/>
        <v>0</v>
      </c>
      <c r="I7" s="10" t="s">
        <v>48</v>
      </c>
    </row>
    <row r="8" spans="1:11" x14ac:dyDescent="0.25">
      <c r="A8" s="10" t="s">
        <v>50</v>
      </c>
      <c r="B8" s="10"/>
      <c r="C8" s="10">
        <v>0</v>
      </c>
      <c r="D8" s="10" t="s">
        <v>13</v>
      </c>
      <c r="E8" s="10">
        <v>1</v>
      </c>
      <c r="F8" s="11"/>
      <c r="G8" s="11">
        <f t="shared" si="0"/>
        <v>0</v>
      </c>
      <c r="H8" s="11">
        <f t="shared" si="1"/>
        <v>0</v>
      </c>
      <c r="I8" s="10" t="s">
        <v>48</v>
      </c>
    </row>
    <row r="9" spans="1:11" x14ac:dyDescent="0.25">
      <c r="A9" s="10" t="s">
        <v>35</v>
      </c>
      <c r="B9" s="10" t="s">
        <v>36</v>
      </c>
      <c r="C9" s="10">
        <v>0</v>
      </c>
      <c r="D9" s="10" t="s">
        <v>13</v>
      </c>
      <c r="E9" s="10">
        <v>2</v>
      </c>
      <c r="F9" s="11"/>
      <c r="G9" s="11">
        <f t="shared" si="0"/>
        <v>0</v>
      </c>
      <c r="H9" s="11">
        <f t="shared" si="1"/>
        <v>0</v>
      </c>
      <c r="I9" s="10" t="s">
        <v>48</v>
      </c>
    </row>
    <row r="10" spans="1:11" x14ac:dyDescent="0.25">
      <c r="A10" t="s">
        <v>37</v>
      </c>
      <c r="B10" t="s">
        <v>40</v>
      </c>
      <c r="C10">
        <v>1</v>
      </c>
      <c r="D10" t="s">
        <v>13</v>
      </c>
      <c r="E10">
        <v>1</v>
      </c>
      <c r="F10" s="9">
        <v>100</v>
      </c>
      <c r="G10" s="9">
        <f t="shared" si="0"/>
        <v>100</v>
      </c>
      <c r="H10" s="9">
        <f t="shared" si="1"/>
        <v>0</v>
      </c>
    </row>
    <row r="11" spans="1:11" x14ac:dyDescent="0.25">
      <c r="A11" t="s">
        <v>38</v>
      </c>
      <c r="B11" t="s">
        <v>40</v>
      </c>
      <c r="C11">
        <v>1</v>
      </c>
      <c r="D11" t="s">
        <v>13</v>
      </c>
      <c r="E11">
        <v>1</v>
      </c>
      <c r="F11" s="9">
        <v>20</v>
      </c>
      <c r="G11" s="9">
        <f t="shared" si="0"/>
        <v>20</v>
      </c>
      <c r="H11" s="9">
        <f t="shared" si="1"/>
        <v>0</v>
      </c>
    </row>
    <row r="12" spans="1:11" x14ac:dyDescent="0.25">
      <c r="A12" t="s">
        <v>39</v>
      </c>
      <c r="B12" t="s">
        <v>40</v>
      </c>
      <c r="C12">
        <v>1</v>
      </c>
      <c r="D12" t="s">
        <v>13</v>
      </c>
      <c r="E12">
        <v>1</v>
      </c>
      <c r="F12" s="9">
        <v>55</v>
      </c>
      <c r="G12" s="9">
        <f t="shared" si="0"/>
        <v>55</v>
      </c>
      <c r="H12" s="9">
        <f t="shared" si="1"/>
        <v>0</v>
      </c>
    </row>
    <row r="13" spans="1:11" x14ac:dyDescent="0.25">
      <c r="A13" t="s">
        <v>41</v>
      </c>
      <c r="B13" t="s">
        <v>42</v>
      </c>
      <c r="C13">
        <v>1</v>
      </c>
      <c r="D13" t="s">
        <v>13</v>
      </c>
      <c r="E13">
        <v>1</v>
      </c>
      <c r="F13" s="9">
        <v>82.99</v>
      </c>
      <c r="G13" s="9">
        <f t="shared" si="0"/>
        <v>82.99</v>
      </c>
      <c r="H13" s="9">
        <f t="shared" si="1"/>
        <v>0</v>
      </c>
    </row>
    <row r="14" spans="1:11" x14ac:dyDescent="0.25">
      <c r="A14" t="s">
        <v>101</v>
      </c>
      <c r="B14" t="s">
        <v>102</v>
      </c>
      <c r="C14">
        <v>0</v>
      </c>
      <c r="D14" t="s">
        <v>13</v>
      </c>
      <c r="E14">
        <v>1</v>
      </c>
      <c r="F14" s="9">
        <v>10.99</v>
      </c>
      <c r="G14" s="9">
        <f t="shared" si="0"/>
        <v>10.99</v>
      </c>
      <c r="H14" s="9">
        <f t="shared" si="1"/>
        <v>10.99</v>
      </c>
    </row>
    <row r="15" spans="1:11" x14ac:dyDescent="0.25">
      <c r="A15" t="s">
        <v>97</v>
      </c>
      <c r="B15" t="s">
        <v>99</v>
      </c>
      <c r="C15">
        <v>0</v>
      </c>
      <c r="D15" t="s">
        <v>13</v>
      </c>
      <c r="E15">
        <v>1</v>
      </c>
      <c r="F15" s="9">
        <v>10.99</v>
      </c>
      <c r="G15" s="9">
        <f t="shared" si="0"/>
        <v>10.99</v>
      </c>
      <c r="H15" s="9">
        <f t="shared" si="1"/>
        <v>10.99</v>
      </c>
    </row>
    <row r="16" spans="1:11" x14ac:dyDescent="0.25">
      <c r="A16" t="s">
        <v>98</v>
      </c>
      <c r="B16" t="s">
        <v>100</v>
      </c>
      <c r="C16">
        <v>1</v>
      </c>
      <c r="D16" t="s">
        <v>13</v>
      </c>
      <c r="E16">
        <v>1</v>
      </c>
      <c r="F16" s="9">
        <v>12.99</v>
      </c>
      <c r="G16">
        <f t="shared" si="0"/>
        <v>12.99</v>
      </c>
      <c r="H16">
        <f t="shared" si="1"/>
        <v>0</v>
      </c>
      <c r="I16" t="s">
        <v>48</v>
      </c>
    </row>
    <row r="17" spans="1:9" x14ac:dyDescent="0.25">
      <c r="A17" t="s">
        <v>45</v>
      </c>
      <c r="B17" t="s">
        <v>46</v>
      </c>
      <c r="C17">
        <v>1</v>
      </c>
      <c r="D17" t="s">
        <v>13</v>
      </c>
      <c r="E17">
        <v>6</v>
      </c>
      <c r="F17" s="9">
        <v>8.5</v>
      </c>
      <c r="G17" s="9">
        <f t="shared" si="0"/>
        <v>51</v>
      </c>
      <c r="H17" s="9">
        <f t="shared" si="1"/>
        <v>42.5</v>
      </c>
    </row>
    <row r="18" spans="1:9" x14ac:dyDescent="0.25">
      <c r="A18" s="10" t="s">
        <v>47</v>
      </c>
      <c r="B18" s="10"/>
      <c r="C18" s="10"/>
      <c r="D18" s="10" t="s">
        <v>13</v>
      </c>
      <c r="E18" s="10"/>
      <c r="F18" s="11"/>
      <c r="G18" s="11">
        <f t="shared" si="0"/>
        <v>0</v>
      </c>
      <c r="H18" s="11">
        <f t="shared" si="1"/>
        <v>0</v>
      </c>
      <c r="I18" s="10" t="s">
        <v>48</v>
      </c>
    </row>
    <row r="19" spans="1:9" x14ac:dyDescent="0.25">
      <c r="A19" s="12" t="s">
        <v>60</v>
      </c>
      <c r="B19" s="12"/>
      <c r="C19" s="12"/>
      <c r="D19" s="12"/>
      <c r="E19" s="12"/>
      <c r="F19" s="12"/>
      <c r="G19" s="12"/>
      <c r="H19" s="12"/>
      <c r="I19" s="12"/>
    </row>
    <row r="20" spans="1:9" x14ac:dyDescent="0.25">
      <c r="A20" t="s">
        <v>68</v>
      </c>
      <c r="B20" t="s">
        <v>43</v>
      </c>
      <c r="C20">
        <v>0</v>
      </c>
      <c r="D20" t="s">
        <v>13</v>
      </c>
      <c r="E20">
        <v>1</v>
      </c>
      <c r="F20" s="9">
        <v>42</v>
      </c>
      <c r="G20" s="9">
        <f t="shared" si="0"/>
        <v>42</v>
      </c>
      <c r="H20" s="9">
        <f t="shared" si="1"/>
        <v>42</v>
      </c>
      <c r="I20" t="s">
        <v>44</v>
      </c>
    </row>
    <row r="21" spans="1:9" x14ac:dyDescent="0.25">
      <c r="A21" t="s">
        <v>66</v>
      </c>
      <c r="B21" t="s">
        <v>51</v>
      </c>
      <c r="C21">
        <v>0</v>
      </c>
      <c r="D21" t="s">
        <v>13</v>
      </c>
      <c r="E21">
        <v>1</v>
      </c>
      <c r="F21" s="9">
        <v>26.55</v>
      </c>
      <c r="G21" s="9">
        <f t="shared" si="0"/>
        <v>26.55</v>
      </c>
      <c r="H21" s="9">
        <f t="shared" si="1"/>
        <v>26.55</v>
      </c>
      <c r="I21" t="s">
        <v>54</v>
      </c>
    </row>
    <row r="22" spans="1:9" x14ac:dyDescent="0.25">
      <c r="A22" s="10" t="s">
        <v>52</v>
      </c>
      <c r="B22" s="10"/>
      <c r="C22" s="10">
        <v>0</v>
      </c>
      <c r="D22" s="10" t="s">
        <v>13</v>
      </c>
      <c r="E22" s="10">
        <v>1</v>
      </c>
      <c r="F22" s="11"/>
      <c r="G22" s="11">
        <f t="shared" si="0"/>
        <v>0</v>
      </c>
      <c r="H22" s="11">
        <f t="shared" si="1"/>
        <v>0</v>
      </c>
      <c r="I22" s="10" t="s">
        <v>55</v>
      </c>
    </row>
    <row r="23" spans="1:9" x14ac:dyDescent="0.25">
      <c r="A23" s="10" t="s">
        <v>53</v>
      </c>
      <c r="B23" s="10"/>
      <c r="C23" s="10">
        <v>0</v>
      </c>
      <c r="D23" s="10" t="s">
        <v>13</v>
      </c>
      <c r="E23" s="10">
        <v>1</v>
      </c>
      <c r="F23" s="11"/>
      <c r="G23" s="11">
        <f t="shared" si="0"/>
        <v>0</v>
      </c>
      <c r="H23" s="11">
        <f t="shared" si="1"/>
        <v>0</v>
      </c>
      <c r="I23" s="10" t="s">
        <v>56</v>
      </c>
    </row>
    <row r="24" spans="1:9" x14ac:dyDescent="0.25">
      <c r="A24" t="s">
        <v>67</v>
      </c>
      <c r="B24" t="s">
        <v>58</v>
      </c>
      <c r="C24">
        <v>0</v>
      </c>
      <c r="D24" t="s">
        <v>13</v>
      </c>
      <c r="E24">
        <v>1</v>
      </c>
      <c r="F24" s="9">
        <v>7.11</v>
      </c>
      <c r="G24" s="9">
        <f t="shared" si="0"/>
        <v>7.11</v>
      </c>
      <c r="H24" s="9">
        <f t="shared" si="1"/>
        <v>7.11</v>
      </c>
      <c r="I24" t="s">
        <v>12</v>
      </c>
    </row>
    <row r="25" spans="1:9" x14ac:dyDescent="0.25">
      <c r="A25" s="10" t="s">
        <v>52</v>
      </c>
      <c r="B25" s="10"/>
      <c r="C25" s="10">
        <v>0</v>
      </c>
      <c r="D25" s="10" t="s">
        <v>13</v>
      </c>
      <c r="E25" s="10">
        <v>1</v>
      </c>
      <c r="F25" s="11"/>
      <c r="G25" s="11">
        <f t="shared" si="0"/>
        <v>0</v>
      </c>
      <c r="H25" s="11">
        <f t="shared" si="1"/>
        <v>0</v>
      </c>
      <c r="I25" s="10" t="s">
        <v>57</v>
      </c>
    </row>
    <row r="26" spans="1:9" x14ac:dyDescent="0.25">
      <c r="A26" s="12" t="s">
        <v>62</v>
      </c>
      <c r="B26" s="12"/>
      <c r="C26" s="12"/>
      <c r="D26" s="12"/>
      <c r="E26" s="12"/>
      <c r="F26" s="12"/>
      <c r="G26" s="12"/>
      <c r="H26" s="12"/>
      <c r="I26" s="12"/>
    </row>
    <row r="27" spans="1:9" x14ac:dyDescent="0.25">
      <c r="A27" t="s">
        <v>71</v>
      </c>
      <c r="B27" t="s">
        <v>59</v>
      </c>
      <c r="C27">
        <v>0</v>
      </c>
      <c r="D27" t="s">
        <v>13</v>
      </c>
      <c r="E27">
        <v>1</v>
      </c>
      <c r="F27" s="9">
        <v>7.88</v>
      </c>
      <c r="G27" s="9">
        <f t="shared" si="0"/>
        <v>7.88</v>
      </c>
      <c r="H27" s="9">
        <f t="shared" si="1"/>
        <v>7.88</v>
      </c>
    </row>
    <row r="28" spans="1:9" x14ac:dyDescent="0.25">
      <c r="A28" t="s">
        <v>65</v>
      </c>
      <c r="B28" t="s">
        <v>63</v>
      </c>
      <c r="C28">
        <v>0</v>
      </c>
      <c r="D28" t="s">
        <v>13</v>
      </c>
      <c r="E28">
        <v>1</v>
      </c>
      <c r="F28" s="9">
        <v>15.51</v>
      </c>
      <c r="G28" s="9">
        <f t="shared" si="0"/>
        <v>15.51</v>
      </c>
      <c r="H28" s="9">
        <f t="shared" si="1"/>
        <v>15.51</v>
      </c>
    </row>
    <row r="29" spans="1:9" x14ac:dyDescent="0.25">
      <c r="A29" t="s">
        <v>64</v>
      </c>
      <c r="B29" t="s">
        <v>69</v>
      </c>
      <c r="C29">
        <v>0</v>
      </c>
      <c r="D29" t="s">
        <v>13</v>
      </c>
      <c r="E29">
        <v>1</v>
      </c>
      <c r="F29" s="9">
        <v>12.63</v>
      </c>
      <c r="G29" s="9">
        <f t="shared" si="0"/>
        <v>12.63</v>
      </c>
      <c r="H29" s="9">
        <f t="shared" si="1"/>
        <v>12.63</v>
      </c>
    </row>
    <row r="30" spans="1:9" x14ac:dyDescent="0.25">
      <c r="A30" t="s">
        <v>70</v>
      </c>
      <c r="B30" t="s">
        <v>72</v>
      </c>
      <c r="C30">
        <v>0</v>
      </c>
      <c r="D30" t="s">
        <v>13</v>
      </c>
      <c r="E30">
        <v>2</v>
      </c>
      <c r="F30" s="9">
        <v>3.65</v>
      </c>
      <c r="G30" s="9">
        <f t="shared" si="0"/>
        <v>7.3</v>
      </c>
      <c r="H30" s="9">
        <f t="shared" si="1"/>
        <v>7.3</v>
      </c>
    </row>
    <row r="31" spans="1:9" x14ac:dyDescent="0.25">
      <c r="A31" t="s">
        <v>73</v>
      </c>
      <c r="B31" t="s">
        <v>74</v>
      </c>
      <c r="C31">
        <v>1</v>
      </c>
      <c r="D31" t="s">
        <v>13</v>
      </c>
      <c r="E31">
        <v>1</v>
      </c>
      <c r="F31" s="9">
        <v>10.67</v>
      </c>
      <c r="G31" s="9">
        <f t="shared" si="0"/>
        <v>10.67</v>
      </c>
      <c r="H31" s="9">
        <f t="shared" si="1"/>
        <v>0</v>
      </c>
    </row>
    <row r="32" spans="1:9" x14ac:dyDescent="0.25">
      <c r="A32" t="s">
        <v>75</v>
      </c>
      <c r="B32" t="s">
        <v>76</v>
      </c>
      <c r="C32">
        <v>1</v>
      </c>
      <c r="D32" t="s">
        <v>13</v>
      </c>
      <c r="E32">
        <v>1</v>
      </c>
      <c r="F32" s="9">
        <v>5.5</v>
      </c>
      <c r="G32" s="9">
        <f t="shared" si="0"/>
        <v>5.5</v>
      </c>
      <c r="H32" s="9">
        <f t="shared" si="1"/>
        <v>0</v>
      </c>
    </row>
    <row r="33" spans="1:9" x14ac:dyDescent="0.25">
      <c r="A33" s="12" t="s">
        <v>77</v>
      </c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0"/>
      <c r="B34" s="10"/>
      <c r="C34" s="10"/>
      <c r="D34" s="10" t="s">
        <v>13</v>
      </c>
      <c r="E34" s="10"/>
      <c r="F34" s="11"/>
      <c r="G34" s="11">
        <f t="shared" si="0"/>
        <v>0</v>
      </c>
      <c r="H34" s="11">
        <f t="shared" si="1"/>
        <v>0</v>
      </c>
      <c r="I34" s="10" t="s">
        <v>48</v>
      </c>
    </row>
    <row r="35" spans="1:9" x14ac:dyDescent="0.25">
      <c r="A35" s="12" t="s">
        <v>78</v>
      </c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0"/>
      <c r="B36" s="10"/>
      <c r="C36" s="10"/>
      <c r="D36" s="10" t="s">
        <v>13</v>
      </c>
      <c r="E36" s="10"/>
      <c r="F36" s="11"/>
      <c r="G36" s="11">
        <f t="shared" si="0"/>
        <v>0</v>
      </c>
      <c r="H36" s="11">
        <f t="shared" si="1"/>
        <v>0</v>
      </c>
      <c r="I36" s="10" t="s">
        <v>48</v>
      </c>
    </row>
    <row r="37" spans="1:9" x14ac:dyDescent="0.25">
      <c r="A37" s="12" t="s">
        <v>79</v>
      </c>
      <c r="B37" s="12"/>
      <c r="C37" s="12"/>
      <c r="D37" s="12"/>
      <c r="E37" s="12"/>
      <c r="F37" s="12"/>
      <c r="G37" s="12"/>
      <c r="H37" s="12"/>
      <c r="I37" s="12"/>
    </row>
    <row r="38" spans="1:9" x14ac:dyDescent="0.25">
      <c r="A38" t="s">
        <v>80</v>
      </c>
      <c r="B38" t="s">
        <v>48</v>
      </c>
      <c r="C38">
        <v>0</v>
      </c>
      <c r="D38" t="s">
        <v>13</v>
      </c>
      <c r="E38">
        <v>1</v>
      </c>
      <c r="F38" s="9">
        <v>269.99</v>
      </c>
      <c r="G38" s="9">
        <f t="shared" si="0"/>
        <v>269.99</v>
      </c>
      <c r="H38" s="9">
        <f t="shared" si="1"/>
        <v>269.99</v>
      </c>
      <c r="I38" t="s">
        <v>83</v>
      </c>
    </row>
    <row r="39" spans="1:9" x14ac:dyDescent="0.25">
      <c r="A39" t="s">
        <v>81</v>
      </c>
      <c r="B39" t="s">
        <v>48</v>
      </c>
      <c r="C39">
        <v>0</v>
      </c>
      <c r="D39" t="s">
        <v>13</v>
      </c>
      <c r="E39">
        <v>1</v>
      </c>
      <c r="F39" s="9">
        <v>167.99</v>
      </c>
      <c r="G39" s="9">
        <f t="shared" si="0"/>
        <v>167.99</v>
      </c>
      <c r="H39" s="9">
        <f t="shared" si="1"/>
        <v>167.99</v>
      </c>
      <c r="I39" t="s">
        <v>82</v>
      </c>
    </row>
    <row r="40" spans="1:9" x14ac:dyDescent="0.25">
      <c r="A40" t="s">
        <v>84</v>
      </c>
      <c r="B40" t="s">
        <v>85</v>
      </c>
      <c r="C40">
        <v>0</v>
      </c>
      <c r="D40" t="s">
        <v>13</v>
      </c>
      <c r="E40">
        <v>2</v>
      </c>
      <c r="F40" s="9">
        <v>16</v>
      </c>
      <c r="G40" s="9">
        <f t="shared" si="0"/>
        <v>32</v>
      </c>
      <c r="H40" s="9">
        <f t="shared" si="1"/>
        <v>32</v>
      </c>
    </row>
    <row r="41" spans="1:9" x14ac:dyDescent="0.25">
      <c r="A41" t="s">
        <v>86</v>
      </c>
      <c r="B41" t="s">
        <v>87</v>
      </c>
      <c r="C41">
        <v>1</v>
      </c>
      <c r="D41" t="s">
        <v>13</v>
      </c>
      <c r="E41">
        <v>1</v>
      </c>
      <c r="F41" s="9">
        <v>38</v>
      </c>
      <c r="G41" s="9">
        <f t="shared" si="0"/>
        <v>38</v>
      </c>
      <c r="H41" s="9">
        <f t="shared" si="1"/>
        <v>0</v>
      </c>
    </row>
    <row r="42" spans="1:9" x14ac:dyDescent="0.25">
      <c r="A42" t="s">
        <v>88</v>
      </c>
      <c r="B42" t="s">
        <v>91</v>
      </c>
      <c r="C42">
        <v>1</v>
      </c>
      <c r="D42" t="s">
        <v>13</v>
      </c>
      <c r="E42">
        <v>1</v>
      </c>
      <c r="F42" s="9">
        <v>34.5</v>
      </c>
      <c r="G42" s="9">
        <f>E42*F42</f>
        <v>34.5</v>
      </c>
      <c r="H42" s="9">
        <f t="shared" si="1"/>
        <v>0</v>
      </c>
      <c r="I42" t="s">
        <v>94</v>
      </c>
    </row>
    <row r="43" spans="1:9" x14ac:dyDescent="0.25">
      <c r="A43" t="s">
        <v>92</v>
      </c>
      <c r="B43" t="s">
        <v>93</v>
      </c>
      <c r="C43">
        <v>1</v>
      </c>
      <c r="D43" t="s">
        <v>13</v>
      </c>
      <c r="E43">
        <v>1</v>
      </c>
      <c r="F43" s="9">
        <v>35.950000000000003</v>
      </c>
      <c r="G43" s="9">
        <f>E43*F43</f>
        <v>35.950000000000003</v>
      </c>
      <c r="H43" s="9">
        <f t="shared" si="1"/>
        <v>0</v>
      </c>
      <c r="I43" t="s">
        <v>95</v>
      </c>
    </row>
    <row r="44" spans="1:9" x14ac:dyDescent="0.25">
      <c r="A44" t="s">
        <v>89</v>
      </c>
      <c r="B44" t="s">
        <v>90</v>
      </c>
      <c r="C44">
        <v>0</v>
      </c>
      <c r="D44" t="s">
        <v>13</v>
      </c>
      <c r="E44">
        <v>2</v>
      </c>
      <c r="F44" s="9">
        <v>6</v>
      </c>
      <c r="G44" s="9">
        <f>E44*F44</f>
        <v>12</v>
      </c>
      <c r="H44" s="9">
        <f>(E44-C44)*F44</f>
        <v>12</v>
      </c>
      <c r="I44" t="s">
        <v>96</v>
      </c>
    </row>
    <row r="45" spans="1:9" x14ac:dyDescent="0.25">
      <c r="D45" t="s">
        <v>13</v>
      </c>
      <c r="G45" s="9">
        <f t="shared" si="0"/>
        <v>0</v>
      </c>
      <c r="H45" s="9">
        <f t="shared" si="1"/>
        <v>0</v>
      </c>
    </row>
    <row r="46" spans="1:9" x14ac:dyDescent="0.25">
      <c r="D46" t="s">
        <v>13</v>
      </c>
      <c r="G46" s="9">
        <f t="shared" si="0"/>
        <v>0</v>
      </c>
      <c r="H46" s="9">
        <f t="shared" si="1"/>
        <v>0</v>
      </c>
    </row>
    <row r="47" spans="1:9" x14ac:dyDescent="0.25">
      <c r="D47" t="s">
        <v>13</v>
      </c>
      <c r="G47" s="9">
        <f t="shared" si="0"/>
        <v>0</v>
      </c>
      <c r="H47" s="9">
        <f t="shared" si="1"/>
        <v>0</v>
      </c>
    </row>
    <row r="48" spans="1:9" x14ac:dyDescent="0.25">
      <c r="D48" t="s">
        <v>13</v>
      </c>
      <c r="G48" s="9">
        <f t="shared" si="0"/>
        <v>0</v>
      </c>
      <c r="H48" s="9">
        <f t="shared" si="1"/>
        <v>0</v>
      </c>
    </row>
    <row r="49" spans="4:8" x14ac:dyDescent="0.25">
      <c r="D49" t="s">
        <v>13</v>
      </c>
      <c r="G49" s="9">
        <f t="shared" si="0"/>
        <v>0</v>
      </c>
      <c r="H49" s="9">
        <f t="shared" si="1"/>
        <v>0</v>
      </c>
    </row>
    <row r="50" spans="4:8" x14ac:dyDescent="0.25">
      <c r="D50" t="s">
        <v>13</v>
      </c>
      <c r="G50" s="9">
        <f t="shared" si="0"/>
        <v>0</v>
      </c>
      <c r="H50" s="9">
        <f t="shared" si="1"/>
        <v>0</v>
      </c>
    </row>
    <row r="51" spans="4:8" x14ac:dyDescent="0.25">
      <c r="D51" t="s">
        <v>13</v>
      </c>
      <c r="G51" s="9">
        <f t="shared" si="0"/>
        <v>0</v>
      </c>
      <c r="H51" s="9">
        <f t="shared" si="1"/>
        <v>0</v>
      </c>
    </row>
    <row r="52" spans="4:8" x14ac:dyDescent="0.25">
      <c r="D52" t="s">
        <v>13</v>
      </c>
      <c r="G52" s="9">
        <f t="shared" si="0"/>
        <v>0</v>
      </c>
      <c r="H52" s="9">
        <f t="shared" si="1"/>
        <v>0</v>
      </c>
    </row>
    <row r="53" spans="4:8" x14ac:dyDescent="0.25">
      <c r="D53" t="s">
        <v>13</v>
      </c>
      <c r="G53" s="9">
        <f t="shared" si="0"/>
        <v>0</v>
      </c>
      <c r="H53" s="9">
        <f t="shared" si="1"/>
        <v>0</v>
      </c>
    </row>
    <row r="54" spans="4:8" x14ac:dyDescent="0.25">
      <c r="D54" t="s">
        <v>13</v>
      </c>
      <c r="G54" s="9">
        <f t="shared" si="0"/>
        <v>0</v>
      </c>
      <c r="H54" s="9">
        <f t="shared" si="1"/>
        <v>0</v>
      </c>
    </row>
    <row r="55" spans="4:8" x14ac:dyDescent="0.25">
      <c r="D55" t="s">
        <v>13</v>
      </c>
      <c r="G55" s="9">
        <f t="shared" si="0"/>
        <v>0</v>
      </c>
      <c r="H55" s="9">
        <f t="shared" si="1"/>
        <v>0</v>
      </c>
    </row>
    <row r="56" spans="4:8" x14ac:dyDescent="0.25">
      <c r="D56" t="s">
        <v>13</v>
      </c>
      <c r="G56" s="9">
        <f t="shared" si="0"/>
        <v>0</v>
      </c>
      <c r="H56" s="9">
        <f t="shared" si="1"/>
        <v>0</v>
      </c>
    </row>
    <row r="57" spans="4:8" x14ac:dyDescent="0.25">
      <c r="D57" t="s">
        <v>13</v>
      </c>
      <c r="G57" s="9">
        <f t="shared" si="0"/>
        <v>0</v>
      </c>
      <c r="H57" s="9">
        <f t="shared" si="1"/>
        <v>0</v>
      </c>
    </row>
    <row r="58" spans="4:8" x14ac:dyDescent="0.25">
      <c r="D58" t="s">
        <v>13</v>
      </c>
      <c r="G58" s="9">
        <f t="shared" si="0"/>
        <v>0</v>
      </c>
      <c r="H58" s="9">
        <f t="shared" si="1"/>
        <v>0</v>
      </c>
    </row>
  </sheetData>
  <mergeCells count="6">
    <mergeCell ref="A37:I37"/>
    <mergeCell ref="A19:I19"/>
    <mergeCell ref="A2:I2"/>
    <mergeCell ref="A26:I26"/>
    <mergeCell ref="A33:I33"/>
    <mergeCell ref="A35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2D92-800B-4831-9F0C-189B503BC9AC}">
  <dimension ref="A1:F8"/>
  <sheetViews>
    <sheetView workbookViewId="0">
      <selection activeCell="F2" sqref="F2"/>
    </sheetView>
  </sheetViews>
  <sheetFormatPr defaultRowHeight="15" x14ac:dyDescent="0.25"/>
  <cols>
    <col min="1" max="1" width="25.42578125" customWidth="1"/>
    <col min="2" max="2" width="29.85546875" customWidth="1"/>
    <col min="3" max="3" width="15.42578125" customWidth="1"/>
    <col min="4" max="4" width="3.7109375" style="4" customWidth="1"/>
    <col min="5" max="5" width="13.140625" customWidth="1"/>
    <col min="6" max="6" width="18.7109375" customWidth="1"/>
  </cols>
  <sheetData>
    <row r="1" spans="1:6" s="2" customFormat="1" x14ac:dyDescent="0.25">
      <c r="A1" s="1" t="s">
        <v>0</v>
      </c>
      <c r="B1" s="1" t="s">
        <v>6</v>
      </c>
      <c r="C1" s="1" t="s">
        <v>9</v>
      </c>
      <c r="D1" s="3" t="s">
        <v>7</v>
      </c>
      <c r="E1" s="1" t="s">
        <v>8</v>
      </c>
      <c r="F1" s="1" t="s">
        <v>10</v>
      </c>
    </row>
    <row r="2" spans="1:6" x14ac:dyDescent="0.25">
      <c r="A2" t="s">
        <v>11</v>
      </c>
      <c r="B2" t="s">
        <v>12</v>
      </c>
      <c r="C2">
        <v>0</v>
      </c>
      <c r="D2" s="4" t="s">
        <v>13</v>
      </c>
      <c r="E2">
        <v>1</v>
      </c>
    </row>
    <row r="3" spans="1:6" x14ac:dyDescent="0.25">
      <c r="A3" t="s">
        <v>14</v>
      </c>
      <c r="B3" t="s">
        <v>15</v>
      </c>
      <c r="C3">
        <v>0</v>
      </c>
      <c r="D3" s="4" t="s">
        <v>13</v>
      </c>
      <c r="E3">
        <v>1</v>
      </c>
    </row>
    <row r="4" spans="1:6" x14ac:dyDescent="0.25">
      <c r="A4" t="s">
        <v>16</v>
      </c>
      <c r="B4" t="s">
        <v>17</v>
      </c>
      <c r="C4">
        <v>0</v>
      </c>
      <c r="D4" s="4" t="s">
        <v>13</v>
      </c>
      <c r="E4">
        <v>1</v>
      </c>
    </row>
    <row r="5" spans="1:6" x14ac:dyDescent="0.25">
      <c r="A5" t="s">
        <v>18</v>
      </c>
      <c r="B5" t="s">
        <v>19</v>
      </c>
      <c r="C5">
        <v>0</v>
      </c>
      <c r="D5" s="4" t="s">
        <v>13</v>
      </c>
      <c r="E5">
        <v>4</v>
      </c>
    </row>
    <row r="6" spans="1:6" x14ac:dyDescent="0.25">
      <c r="A6" t="s">
        <v>20</v>
      </c>
      <c r="B6" t="s">
        <v>21</v>
      </c>
      <c r="C6">
        <v>0</v>
      </c>
      <c r="D6" s="4" t="s">
        <v>13</v>
      </c>
      <c r="E6">
        <v>1</v>
      </c>
    </row>
    <row r="7" spans="1:6" x14ac:dyDescent="0.25">
      <c r="A7" t="s">
        <v>22</v>
      </c>
      <c r="B7" t="s">
        <v>23</v>
      </c>
      <c r="C7">
        <v>0</v>
      </c>
      <c r="D7" s="4" t="s">
        <v>13</v>
      </c>
      <c r="E7">
        <v>1</v>
      </c>
    </row>
    <row r="8" spans="1:6" x14ac:dyDescent="0.25">
      <c r="A8" t="s">
        <v>24</v>
      </c>
      <c r="B8" t="s">
        <v>25</v>
      </c>
      <c r="C8">
        <v>0</v>
      </c>
      <c r="D8" s="4" t="s">
        <v>13</v>
      </c>
      <c r="E8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of Materials</vt:lpstr>
      <vt:lpstr>Mfg.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False Confidence Bill of Materials</dc:title>
  <dc:creator>Owen C Murtha</dc:creator>
  <cp:lastModifiedBy>Owen Murtha</cp:lastModifiedBy>
  <dcterms:created xsi:type="dcterms:W3CDTF">2026-04-24T16:30:15Z</dcterms:created>
  <dcterms:modified xsi:type="dcterms:W3CDTF">2026-05-23T18:53:22Z</dcterms:modified>
</cp:coreProperties>
</file>